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juanariccio/Desktop/Courses/3. Federal Wealth Transfer Taxation/"/>
    </mc:Choice>
  </mc:AlternateContent>
  <xr:revisionPtr revIDLastSave="0" documentId="8_{2E49CE3B-AAD6-524E-9558-81D3BEE42E19}" xr6:coauthVersionLast="47" xr6:coauthVersionMax="47" xr10:uidLastSave="{00000000-0000-0000-0000-000000000000}"/>
  <bookViews>
    <workbookView xWindow="0" yWindow="0" windowWidth="35840" windowHeight="22400" xr2:uid="{2DCA43C6-ECA2-425F-9827-903324305B29}"/>
  </bookViews>
  <sheets>
    <sheet name="Ch 11 Exercises" sheetId="1" r:id="rId1"/>
    <sheet name="Scope of the Estate Tax (2033)" sheetId="2" r:id="rId2"/>
    <sheet name="Scope of Gift Tax (2501, 2511)"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70" i="1" l="1"/>
  <c r="B67" i="1"/>
  <c r="B64" i="1"/>
  <c r="B62" i="1"/>
  <c r="B54" i="1"/>
  <c r="B51" i="1"/>
  <c r="B48" i="1"/>
  <c r="B46" i="1"/>
  <c r="B43" i="1"/>
  <c r="B44" i="1"/>
  <c r="B42" i="1"/>
  <c r="C31" i="1"/>
  <c r="C27" i="1"/>
  <c r="E24" i="1"/>
  <c r="C30" i="1"/>
  <c r="C22" i="1"/>
  <c r="C23" i="1" s="1"/>
  <c r="C14" i="1"/>
  <c r="C11" i="1"/>
  <c r="C9" i="1"/>
  <c r="C7" i="1"/>
  <c r="C6" i="1"/>
</calcChain>
</file>

<file path=xl/sharedStrings.xml><?xml version="1.0" encoding="utf-8"?>
<sst xmlns="http://schemas.openxmlformats.org/spreadsheetml/2006/main" count="129" uniqueCount="102">
  <si>
    <t>Question 1 Page 80</t>
  </si>
  <si>
    <t>Taxable gifts prior to 2015</t>
  </si>
  <si>
    <t>Total gifts in 2015</t>
  </si>
  <si>
    <t>Less: annual exclusion</t>
  </si>
  <si>
    <t>Taxable gifts in 2015</t>
  </si>
  <si>
    <t>Total taxable gifts (present and prior yrs)</t>
  </si>
  <si>
    <t>Tax payable on $5,430,000 (1932-2015)</t>
  </si>
  <si>
    <t>Less: gifts tax on prior gifts</t>
  </si>
  <si>
    <t>Tentative tax on 2015 gifts</t>
  </si>
  <si>
    <t>Less: unified credit used in prior years</t>
  </si>
  <si>
    <t>Unified credit available</t>
  </si>
  <si>
    <t>Unified credit</t>
  </si>
  <si>
    <t>Tax due on 2015 gifts</t>
  </si>
  <si>
    <t>Question 2</t>
  </si>
  <si>
    <t>Tax payable on $5,430,000 (1932-2016)</t>
  </si>
  <si>
    <t>Question 3</t>
  </si>
  <si>
    <t>Home, car, stock</t>
  </si>
  <si>
    <t>Life insurance</t>
  </si>
  <si>
    <t>Land held in Joint Tenancy with Child</t>
  </si>
  <si>
    <t>Funeral and admin expenses</t>
  </si>
  <si>
    <t>Claims against D's estate</t>
  </si>
  <si>
    <t>Charitable bequest</t>
  </si>
  <si>
    <t>Included</t>
  </si>
  <si>
    <t>Deductible</t>
  </si>
  <si>
    <t>Gross estate</t>
  </si>
  <si>
    <t>Taxable estate</t>
  </si>
  <si>
    <t>Less: allowed deductions (2053-56)</t>
  </si>
  <si>
    <t>Plus: post-1976 taxable gifts</t>
  </si>
  <si>
    <t>Total transfer subject to tax</t>
  </si>
  <si>
    <t>Tentative tax on total transfers subject to tax</t>
  </si>
  <si>
    <t>Less: gift tax payable at 2001(c) rates</t>
  </si>
  <si>
    <t>Tentative tax on estate</t>
  </si>
  <si>
    <t>Less: credits for</t>
  </si>
  <si>
    <t xml:space="preserve">       Unified credit</t>
  </si>
  <si>
    <t>Estate tax</t>
  </si>
  <si>
    <t>Question 4</t>
  </si>
  <si>
    <t>How does the unified credit work, is it still available if used for gift tax?</t>
  </si>
  <si>
    <t>Helvering v. Safe Deposit &amp; Trust Co.</t>
  </si>
  <si>
    <t>Whether a decedent’s gross estate includes the value of property over which the decedent held an unexercised testamentary general power of appointment. Decedent was properly treated as the owner of the property for purpose of 2033 (trusts) because the plain attributes of ownership which he had at the time of death were substantially the same as though he had been given a fee title to the trust property. Therefore, case includes in gross estate property passing pursuant to a general power of appointment exercised by the decedent.</t>
  </si>
  <si>
    <t>Section 2041</t>
  </si>
  <si>
    <t>Revised section on Power of Appointment (see chapter 22)</t>
  </si>
  <si>
    <t>Rev. Rul. 55-438, 1955-2 C.B. 601</t>
  </si>
  <si>
    <t>Where the interest retained by a decedent in transferred property is a possibility of reverter which is obliterated by his death, or, where the interest of a decedent in a trust created by another person is a contingent remainder which lapses at his death, such interest is not considered as an interest in property for the purposes of 2033.</t>
  </si>
  <si>
    <t>State Property Law</t>
  </si>
  <si>
    <t>The application of 2033 turns on whether the interest is covered by state law property concepts.</t>
  </si>
  <si>
    <t>Whether certain improvements made by the tenant became D's property upon expiraiton of the lease. The Tax Court held that the value of the improvements was includible in D's estate on the grounds that the tenant's right to remove its trade fixture expired with the end of the lease under state property law. The 9th circuit reversed, taking a different view of state property law. On remand, Tax Court determined that certain improvements were not trade fixtures and thus were includable in D's estate under 2033, while other were trade fixtures and not includible in D's gross estate.</t>
  </si>
  <si>
    <r>
      <t xml:space="preserve">Estate of Frazier
</t>
    </r>
    <r>
      <rPr>
        <sz val="11"/>
        <color theme="1"/>
        <rFont val="Calibri"/>
        <family val="2"/>
        <scheme val="minor"/>
      </rPr>
      <t>Inclusion of tangible property in gross estate under state law</t>
    </r>
  </si>
  <si>
    <r>
      <t xml:space="preserve">Estate of Pascal
</t>
    </r>
    <r>
      <rPr>
        <sz val="11"/>
        <color theme="1"/>
        <rFont val="Calibri"/>
        <family val="2"/>
        <scheme val="minor"/>
      </rPr>
      <t>Inclusion of intangible property in gross estate under state law</t>
    </r>
  </si>
  <si>
    <t xml:space="preserve">Tax Court included in D's estate intangible property rights recognized under state law. </t>
  </si>
  <si>
    <t>Estate of Andrews</t>
  </si>
  <si>
    <t>District court held that the value of the right of publicity embodied in a famous decedent's name was a property interest protected by state law and descendible to the heirs, and this includable in D's estate under 2033.</t>
  </si>
  <si>
    <t>Section A. Beneficial Ownership</t>
  </si>
  <si>
    <t>Section B. Interests Arising at Death</t>
  </si>
  <si>
    <t>Connecticut Bank &amp; Trust Co. v. U.S.</t>
  </si>
  <si>
    <t>After settling car accident resulting in death case, administrator of estate did not include settlement proceeds in gross estate. IRS argued that it was included. The executor sued for tax refunds in district court. The district court ruled in favor of the IRS, and the executor appealed. 2nd Circuit reversed because amount recovered are not included in decedent's gross estate because the right of action for wrongful death does not accrue until death occurs and the decedent has not right of action or interest in the proceeds at the time of his death</t>
  </si>
  <si>
    <t>Rev. Rul. 82-5</t>
  </si>
  <si>
    <t>Where D lacks the power to designate the beneficiaries, such benefits shall not be included under 2033</t>
  </si>
  <si>
    <t>Section C. "Property" v. "Expectancy"</t>
  </si>
  <si>
    <t>Estate of Barr v. Commissioner</t>
  </si>
  <si>
    <t>Kodak paid dividend to estate of employee that passed away in March determined on the end of that year. The IRS argued that this was includable in gross estate. Tax Court held that 2033 was not applicabile because the decedent did not have any property rights at the time of his death that he could pass on to his wife.</t>
  </si>
  <si>
    <t>Employer's Policy</t>
  </si>
  <si>
    <t>An employer's policy of paying death benefits, as evidenced by a consistent history of payment, coupled with actual payment, do not create an includable "interest," as long as the employer retains discretion over whether to make the payment.</t>
  </si>
  <si>
    <t>Contracts for Payment of Death Benefits</t>
  </si>
  <si>
    <t>If D contracts with her employer for the payment of death benefits directly to her husband or other named beneficiary on the sole condition that she remain employer by that employer at the time of her death, the value of the death benefits paid is not includable under 2033 because D has no right to receive any benefits herself.</t>
  </si>
  <si>
    <t>Benefits Paid from Funded Trusts</t>
  </si>
  <si>
    <r>
      <t>Employee death benefits may be includable in 2033 when they are paid from separate trusts funded by the employee (</t>
    </r>
    <r>
      <rPr>
        <i/>
        <sz val="11"/>
        <color theme="1"/>
        <rFont val="Calibri"/>
        <family val="2"/>
        <scheme val="minor"/>
      </rPr>
      <t>Estate of Saxton</t>
    </r>
    <r>
      <rPr>
        <sz val="11"/>
        <color theme="1"/>
        <rFont val="Calibri"/>
        <family val="2"/>
        <scheme val="minor"/>
      </rPr>
      <t>: Tax Court held that the death benefits were not included under 2033 because D did not have enforceable right to receive the payment during his liftetime), for example, 2033 applies where the source of hte death benefits was a qualified employee retirement trust to which the employee made contributions that were immediately credited to his accoun subject to defeasance only upon circumstances within his control (</t>
    </r>
    <r>
      <rPr>
        <i/>
        <sz val="11"/>
        <color theme="1"/>
        <rFont val="Calibri"/>
        <family val="2"/>
        <scheme val="minor"/>
      </rPr>
      <t>Estate of Garber</t>
    </r>
    <r>
      <rPr>
        <sz val="11"/>
        <color theme="1"/>
        <rFont val="Calibri"/>
        <family val="2"/>
        <scheme val="minor"/>
      </rPr>
      <t>).</t>
    </r>
  </si>
  <si>
    <t>Section D. Bank Deposits, Checks and Notes</t>
  </si>
  <si>
    <t>Estate of Belcher v. Commissioner</t>
  </si>
  <si>
    <t>D mailed 36 checks to various charitable donees on 12/21. D died on 12/31. The checks cleared D's bank account. The Tax Court held that even though the funds were included in her bank account at the time of her death, the funds were not included in 2033, applying the relation-back doctrine which treats a charitable gift as having been made for income tax purposes when the checks were unconditionally delivered to the charitable donee.</t>
  </si>
  <si>
    <r>
      <t xml:space="preserve">Post </t>
    </r>
    <r>
      <rPr>
        <i/>
        <sz val="11"/>
        <color theme="1"/>
        <rFont val="Calibri"/>
        <family val="2"/>
        <scheme val="minor"/>
      </rPr>
      <t>Belcher</t>
    </r>
    <r>
      <rPr>
        <sz val="11"/>
        <color theme="1"/>
        <rFont val="Calibri"/>
        <family val="2"/>
        <scheme val="minor"/>
      </rPr>
      <t xml:space="preserve"> Development</t>
    </r>
  </si>
  <si>
    <r>
      <t xml:space="preserve">In </t>
    </r>
    <r>
      <rPr>
        <i/>
        <sz val="11"/>
        <color theme="1"/>
        <rFont val="Calibri"/>
        <family val="2"/>
        <scheme val="minor"/>
      </rPr>
      <t>Belcher</t>
    </r>
    <r>
      <rPr>
        <sz val="11"/>
        <color theme="1"/>
        <rFont val="Calibri"/>
        <family val="2"/>
        <scheme val="minor"/>
      </rPr>
      <t>, the Service indicated that it would not apply the relation-back doctrine in estate tax cases involving noncharitable donees.</t>
    </r>
  </si>
  <si>
    <t>Section E. Right to Accrued Payments</t>
  </si>
  <si>
    <t>IRC 691(a)(1), (c)</t>
  </si>
  <si>
    <t>Income earned but uncollected at death is property for purposes of 2033. Section 691(c) provides and income tax deduction for federal estate taxes paid on an item of income in respect of a decedent. The allowable deduction equals the excess of the estate tax actually paid over the estate tax that would have been payable had the income in respect of a decedent not been included in the gross estate.</t>
  </si>
  <si>
    <t>Questions Chapter 12</t>
  </si>
  <si>
    <t>1.a.</t>
  </si>
  <si>
    <t>A is the trustee for the trust of the benefit of B. It won’t be included in A's estate because they are not beenfitting from the property.</t>
  </si>
  <si>
    <t>20.2033-a</t>
  </si>
  <si>
    <t>1.b</t>
  </si>
  <si>
    <t>Yes because they are benefiting from that property so when they die it is includible in that estate</t>
  </si>
  <si>
    <t>2033 is a blanket, if the value of the gross estate shall include any interest that te decedent has at the time of the death. In 2042 there is an exception, excepts out payments of premiums on life insurance policies on decedent's life as long as the decedent does not have incidence of ownership.</t>
  </si>
  <si>
    <t>Property that was for the benefit of the decedent that he held a general power of appointment was not includible in his estate because he did not exercise his general power of appointment. Property that was usbject to unexercised general power of appointment is not included in gross estate. But subsequent to this legislation revised or enacted 2041 to include all powers of appointment. So if a beneficiary is 25 years old and has the power to withdraw money from a trust, that is included in his gross estate even if he doesnt exercise it</t>
  </si>
  <si>
    <t>2042; related to Safe Deposit &amp; Trust, even if it would be included under 2033, 2033 is impacted by 2042</t>
  </si>
  <si>
    <t>It is descedable under state law, and doesn’t end upon death. Assumption or implication that it is descendable under state law, includible if the decedant had an interest which is mostly defined under State Law. 2033 releis on the States to determine what the interest is (property).</t>
  </si>
  <si>
    <t>2033 is altered by State Law</t>
  </si>
  <si>
    <r>
      <t>Proceeds for during his lifetime are included in gross estate (</t>
    </r>
    <r>
      <rPr>
        <i/>
        <sz val="11"/>
        <color theme="1"/>
        <rFont val="Calibri"/>
        <family val="2"/>
        <scheme val="minor"/>
      </rPr>
      <t>Connectitud</t>
    </r>
    <r>
      <rPr>
        <sz val="11"/>
        <color theme="1"/>
        <rFont val="Calibri"/>
        <family val="2"/>
        <scheme val="minor"/>
      </rPr>
      <t xml:space="preserve">), so (a) is not includable because the decedent did not have any right to it when he died, but (b) and (c) are includable. </t>
    </r>
  </si>
  <si>
    <t>No. For the spouse, he could not award it. Treated just like wrongful death. The decedent did not have power to designate, and it is a creature of statute never in the possession or interest of decedent</t>
  </si>
  <si>
    <t>Estate of Barr</t>
  </si>
  <si>
    <t>No. D did not have an interest.</t>
  </si>
  <si>
    <t>Yes because D knew that the payment was going to be made. Because D would have received it if he had live to 65.</t>
  </si>
  <si>
    <t xml:space="preserve">Relation-backed doctrine includes in 2033, in this case, the decedent gave checks to children (who are not charity) so if he was giving them 14,000 checks they would not be taxed. But in this case it is included in 2033. </t>
  </si>
  <si>
    <t>Questions (page 177)</t>
  </si>
  <si>
    <t xml:space="preserve">Yes. Consideration is lacking, it is a gift. If there was no gift tax, the estate tax could be avoided by giving away all your stuff before dying. The way lifetime exemption works is you can use it at life, and if there is anything remaining it can be applied toy our estate. The parent can do other things to avoid causing tax on the estate, but in this question the gift tax would reach the property. </t>
  </si>
  <si>
    <t>Hogle</t>
  </si>
  <si>
    <t>Parent maintained investment account of trusts and controlled assets, where the annual earnings gifts by the grantor? NO because there was no transfer by Hoggle, he gave his services. It would be difficult to value services, so it is not taxable under the gift tax.</t>
  </si>
  <si>
    <t>Dickman</t>
  </si>
  <si>
    <t>Intrafamily interest free loan resulted in taxable gifts of the reasonable value of the use of the money lent. Make promissory note, loan kid $5M, kid promises to pay $5M in return, structuring as interest payment only for the first 8 years, Donor can transfer an asset that appreciates quickly. It is a low rate, and given the appreciation it can be sold and pay back the loan. Use Applicable Federal Rate (AFR) to avoid implications because that is the floor.</t>
  </si>
  <si>
    <t>Another reason why services are not subject to gift tax is because they don't deplete the donor's estate. If parent is giving child money that is taking money out of the Donor's estate to the Donee's estate. Services does not change the asset.</t>
  </si>
  <si>
    <t>Services as gifts</t>
  </si>
  <si>
    <t>Dickman doesn’t change Hogle. Page 136, if a person has an investment they are not making a gift by depleting the estate, it is the actual act of transferring funds that show there is a gift.</t>
  </si>
  <si>
    <t xml:space="preserve">Parent makes $1M interest-free demand loan, when the AFR is 10%.  It is considered to be a gift because it is an interest free loan, so the gift is 100,000 which is the interest. </t>
  </si>
  <si>
    <t xml:space="preserve">$14,000 is under the exclusion so it is not reported. Dickman, there is language in the majority that it is not uncommon for parents to provide adult kids with use of cars and vacation homes. This is technically taxable but the court shouldn't push it. Rent can be placed a value too so it is different from service.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</si>
</sst>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44" fontId="0" fillId="0" borderId="0" xfId="1" applyFont="1"/>
    <xf numFmtId="44" fontId="0" fillId="0" borderId="0" xfId="0" applyNumberFormat="1"/>
    <xf numFmtId="44" fontId="2" fillId="0" borderId="0" xfId="1" applyFont="1"/>
    <xf numFmtId="0" fontId="2" fillId="0" borderId="0" xfId="0" applyFont="1"/>
    <xf numFmtId="44" fontId="2" fillId="0" borderId="0" xfId="0" applyNumberFormat="1" applyFont="1"/>
    <xf numFmtId="0" fontId="0" fillId="0" borderId="0" xfId="0" applyAlignment="1">
      <alignment wrapText="1"/>
    </xf>
    <xf numFmtId="0" fontId="2" fillId="0" borderId="0" xfId="0" applyFont="1" applyAlignment="1">
      <alignment horizontal="left" vertical="top"/>
    </xf>
    <xf numFmtId="0" fontId="0" fillId="0" borderId="0" xfId="0" applyAlignment="1">
      <alignment horizontal="left"/>
    </xf>
    <xf numFmtId="0" fontId="3" fillId="0" borderId="0" xfId="0" applyFont="1" applyAlignment="1">
      <alignment horizontal="left" vertical="top"/>
    </xf>
    <xf numFmtId="0" fontId="0" fillId="0" borderId="0" xfId="0" applyAlignment="1">
      <alignment horizontal="left" wrapText="1"/>
    </xf>
    <xf numFmtId="0" fontId="0" fillId="0" borderId="0" xfId="0" applyAlignment="1">
      <alignment horizontal="left" vertical="top"/>
    </xf>
    <xf numFmtId="0" fontId="3" fillId="0" borderId="0" xfId="0" applyFont="1" applyAlignment="1">
      <alignment horizontal="left" vertical="top" wrapText="1"/>
    </xf>
    <xf numFmtId="0" fontId="0" fillId="0" borderId="0" xfId="0"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83E16-1AAE-418B-9404-EB214E16AB6A}">
  <dimension ref="A1:E70"/>
  <sheetViews>
    <sheetView tabSelected="1" workbookViewId="0">
      <selection activeCell="B21" sqref="B21"/>
    </sheetView>
  </sheetViews>
  <sheetFormatPr baseColWidth="10" defaultColWidth="8.83203125" defaultRowHeight="15" x14ac:dyDescent="0.2"/>
  <cols>
    <col min="1" max="1" width="41.5" bestFit="1" customWidth="1"/>
    <col min="2" max="3" width="15" bestFit="1" customWidth="1"/>
    <col min="4" max="5" width="14.33203125" bestFit="1" customWidth="1"/>
  </cols>
  <sheetData>
    <row r="1" spans="1:5" x14ac:dyDescent="0.2">
      <c r="A1" t="s">
        <v>0</v>
      </c>
    </row>
    <row r="3" spans="1:5" x14ac:dyDescent="0.2">
      <c r="A3" t="s">
        <v>1</v>
      </c>
      <c r="B3" s="1"/>
      <c r="C3" s="1">
        <v>0</v>
      </c>
    </row>
    <row r="4" spans="1:5" x14ac:dyDescent="0.2">
      <c r="A4" t="s">
        <v>2</v>
      </c>
      <c r="B4" s="1">
        <v>5444000</v>
      </c>
      <c r="C4" s="1"/>
    </row>
    <row r="5" spans="1:5" x14ac:dyDescent="0.2">
      <c r="A5" t="s">
        <v>3</v>
      </c>
      <c r="B5" s="1">
        <v>-14000</v>
      </c>
      <c r="C5" s="1"/>
    </row>
    <row r="6" spans="1:5" x14ac:dyDescent="0.2">
      <c r="A6" t="s">
        <v>4</v>
      </c>
      <c r="B6" s="1"/>
      <c r="C6" s="1">
        <f>B4+B5</f>
        <v>5430000</v>
      </c>
    </row>
    <row r="7" spans="1:5" x14ac:dyDescent="0.2">
      <c r="A7" s="4" t="s">
        <v>5</v>
      </c>
      <c r="B7" s="3"/>
      <c r="C7" s="3">
        <f>C6+C3</f>
        <v>5430000</v>
      </c>
    </row>
    <row r="8" spans="1:5" x14ac:dyDescent="0.2">
      <c r="B8" s="1"/>
      <c r="C8" s="1"/>
      <c r="D8" s="2"/>
      <c r="E8" s="2"/>
    </row>
    <row r="9" spans="1:5" x14ac:dyDescent="0.2">
      <c r="A9" t="s">
        <v>6</v>
      </c>
      <c r="B9" s="1"/>
      <c r="C9" s="1">
        <f>345800+(0.4*4430000)</f>
        <v>2117800</v>
      </c>
    </row>
    <row r="10" spans="1:5" x14ac:dyDescent="0.2">
      <c r="A10" t="s">
        <v>7</v>
      </c>
      <c r="C10">
        <v>0</v>
      </c>
    </row>
    <row r="11" spans="1:5" x14ac:dyDescent="0.2">
      <c r="A11" t="s">
        <v>8</v>
      </c>
      <c r="B11" s="1"/>
      <c r="C11" s="2">
        <f>SUM(C9:C10)</f>
        <v>2117800</v>
      </c>
    </row>
    <row r="12" spans="1:5" x14ac:dyDescent="0.2">
      <c r="A12" t="s">
        <v>11</v>
      </c>
      <c r="B12" s="1">
        <v>2117800</v>
      </c>
    </row>
    <row r="13" spans="1:5" x14ac:dyDescent="0.2">
      <c r="A13" t="s">
        <v>9</v>
      </c>
      <c r="B13" s="1">
        <v>0</v>
      </c>
    </row>
    <row r="14" spans="1:5" x14ac:dyDescent="0.2">
      <c r="A14" t="s">
        <v>10</v>
      </c>
      <c r="B14" s="1"/>
      <c r="C14" s="1">
        <f>SUM(B12:B13)</f>
        <v>2117800</v>
      </c>
    </row>
    <row r="15" spans="1:5" x14ac:dyDescent="0.2">
      <c r="A15" t="s">
        <v>12</v>
      </c>
      <c r="C15" s="2">
        <v>0</v>
      </c>
    </row>
    <row r="17" spans="1:5" x14ac:dyDescent="0.2">
      <c r="A17" t="s">
        <v>13</v>
      </c>
    </row>
    <row r="19" spans="1:5" x14ac:dyDescent="0.2">
      <c r="A19" t="s">
        <v>1</v>
      </c>
      <c r="B19" s="1"/>
      <c r="C19" s="1">
        <v>5430000</v>
      </c>
    </row>
    <row r="20" spans="1:5" x14ac:dyDescent="0.2">
      <c r="A20" t="s">
        <v>2</v>
      </c>
      <c r="B20" s="1">
        <v>1014000</v>
      </c>
      <c r="C20" s="1"/>
    </row>
    <row r="21" spans="1:5" x14ac:dyDescent="0.2">
      <c r="A21" t="s">
        <v>3</v>
      </c>
      <c r="B21" s="1">
        <v>-14000</v>
      </c>
      <c r="C21" s="1"/>
    </row>
    <row r="22" spans="1:5" x14ac:dyDescent="0.2">
      <c r="A22" t="s">
        <v>4</v>
      </c>
      <c r="B22" s="1"/>
      <c r="C22" s="1">
        <f>B20+B21</f>
        <v>1000000</v>
      </c>
    </row>
    <row r="23" spans="1:5" x14ac:dyDescent="0.2">
      <c r="A23" s="4" t="s">
        <v>5</v>
      </c>
      <c r="B23" s="3"/>
      <c r="C23" s="3">
        <f>C22+C19</f>
        <v>6430000</v>
      </c>
    </row>
    <row r="24" spans="1:5" x14ac:dyDescent="0.2">
      <c r="B24" s="1"/>
      <c r="C24" s="1"/>
      <c r="E24" s="2">
        <f>((C23-1000000)*0.4)+345800</f>
        <v>2517800</v>
      </c>
    </row>
    <row r="25" spans="1:5" x14ac:dyDescent="0.2">
      <c r="A25" t="s">
        <v>14</v>
      </c>
      <c r="B25" s="1"/>
      <c r="C25" s="1">
        <v>2517800</v>
      </c>
    </row>
    <row r="26" spans="1:5" x14ac:dyDescent="0.2">
      <c r="A26" t="s">
        <v>7</v>
      </c>
      <c r="C26" s="1">
        <v>-2117800</v>
      </c>
    </row>
    <row r="27" spans="1:5" x14ac:dyDescent="0.2">
      <c r="A27" s="4" t="s">
        <v>8</v>
      </c>
      <c r="B27" s="3"/>
      <c r="C27" s="3">
        <f>SUM(C25:C26)</f>
        <v>400000</v>
      </c>
    </row>
    <row r="28" spans="1:5" x14ac:dyDescent="0.2">
      <c r="A28" t="s">
        <v>11</v>
      </c>
      <c r="B28" s="1">
        <v>2117800</v>
      </c>
    </row>
    <row r="29" spans="1:5" x14ac:dyDescent="0.2">
      <c r="A29" t="s">
        <v>9</v>
      </c>
      <c r="B29" s="1">
        <v>-2117800</v>
      </c>
    </row>
    <row r="30" spans="1:5" x14ac:dyDescent="0.2">
      <c r="A30" t="s">
        <v>10</v>
      </c>
      <c r="B30" s="1"/>
      <c r="C30" s="1">
        <f>SUM(B28:B29)</f>
        <v>0</v>
      </c>
    </row>
    <row r="31" spans="1:5" x14ac:dyDescent="0.2">
      <c r="A31" t="s">
        <v>12</v>
      </c>
      <c r="C31" s="5">
        <f>C27</f>
        <v>400000</v>
      </c>
    </row>
    <row r="33" spans="1:3" x14ac:dyDescent="0.2">
      <c r="A33" t="s">
        <v>15</v>
      </c>
    </row>
    <row r="35" spans="1:3" x14ac:dyDescent="0.2">
      <c r="A35" t="s">
        <v>16</v>
      </c>
      <c r="B35" s="1">
        <v>1500000</v>
      </c>
      <c r="C35" t="s">
        <v>22</v>
      </c>
    </row>
    <row r="36" spans="1:3" x14ac:dyDescent="0.2">
      <c r="A36" t="s">
        <v>17</v>
      </c>
      <c r="B36" s="1">
        <v>1500000</v>
      </c>
      <c r="C36" t="s">
        <v>22</v>
      </c>
    </row>
    <row r="37" spans="1:3" x14ac:dyDescent="0.2">
      <c r="A37" t="s">
        <v>18</v>
      </c>
      <c r="B37" s="1">
        <v>3030000</v>
      </c>
      <c r="C37" t="s">
        <v>22</v>
      </c>
    </row>
    <row r="38" spans="1:3" x14ac:dyDescent="0.2">
      <c r="A38" t="s">
        <v>19</v>
      </c>
      <c r="B38" s="1">
        <v>15000</v>
      </c>
      <c r="C38" t="s">
        <v>23</v>
      </c>
    </row>
    <row r="39" spans="1:3" x14ac:dyDescent="0.2">
      <c r="A39" t="s">
        <v>20</v>
      </c>
      <c r="B39" s="1">
        <v>15000</v>
      </c>
      <c r="C39" t="s">
        <v>23</v>
      </c>
    </row>
    <row r="40" spans="1:3" x14ac:dyDescent="0.2">
      <c r="A40" t="s">
        <v>21</v>
      </c>
      <c r="B40" s="1">
        <v>70000</v>
      </c>
      <c r="C40" t="s">
        <v>23</v>
      </c>
    </row>
    <row r="42" spans="1:3" x14ac:dyDescent="0.2">
      <c r="A42" t="s">
        <v>24</v>
      </c>
      <c r="B42" s="2">
        <f>SUM(B35:B37)</f>
        <v>6030000</v>
      </c>
    </row>
    <row r="43" spans="1:3" x14ac:dyDescent="0.2">
      <c r="A43" t="s">
        <v>26</v>
      </c>
      <c r="B43" s="2">
        <f>-(SUM(B38:B40))</f>
        <v>-100000</v>
      </c>
    </row>
    <row r="44" spans="1:3" x14ac:dyDescent="0.2">
      <c r="A44" s="4" t="s">
        <v>25</v>
      </c>
      <c r="B44" s="5">
        <f>SUM(B42:B43)</f>
        <v>5930000</v>
      </c>
    </row>
    <row r="45" spans="1:3" x14ac:dyDescent="0.2">
      <c r="A45" t="s">
        <v>27</v>
      </c>
      <c r="B45">
        <v>0</v>
      </c>
    </row>
    <row r="46" spans="1:3" x14ac:dyDescent="0.2">
      <c r="A46" s="4" t="s">
        <v>28</v>
      </c>
      <c r="B46" s="5">
        <f>B44</f>
        <v>5930000</v>
      </c>
    </row>
    <row r="48" spans="1:3" x14ac:dyDescent="0.2">
      <c r="A48" s="4" t="s">
        <v>29</v>
      </c>
      <c r="B48" s="2">
        <f>345800+(0.4*(B46-1000000))</f>
        <v>2317800</v>
      </c>
    </row>
    <row r="49" spans="1:2" x14ac:dyDescent="0.2">
      <c r="A49" t="s">
        <v>30</v>
      </c>
      <c r="B49">
        <v>0</v>
      </c>
    </row>
    <row r="51" spans="1:2" x14ac:dyDescent="0.2">
      <c r="A51" s="4" t="s">
        <v>31</v>
      </c>
      <c r="B51" s="5">
        <f>B48</f>
        <v>2317800</v>
      </c>
    </row>
    <row r="52" spans="1:2" x14ac:dyDescent="0.2">
      <c r="A52" t="s">
        <v>32</v>
      </c>
    </row>
    <row r="53" spans="1:2" x14ac:dyDescent="0.2">
      <c r="A53" t="s">
        <v>33</v>
      </c>
      <c r="B53" s="1">
        <v>-2117800</v>
      </c>
    </row>
    <row r="54" spans="1:2" x14ac:dyDescent="0.2">
      <c r="A54" s="4" t="s">
        <v>34</v>
      </c>
      <c r="B54" s="2">
        <f>SUM(B51:B53)</f>
        <v>200000</v>
      </c>
    </row>
    <row r="56" spans="1:2" x14ac:dyDescent="0.2">
      <c r="A56" t="s">
        <v>35</v>
      </c>
    </row>
    <row r="58" spans="1:2" x14ac:dyDescent="0.2">
      <c r="A58" t="s">
        <v>24</v>
      </c>
      <c r="B58" s="1">
        <v>6030000</v>
      </c>
    </row>
    <row r="59" spans="1:2" x14ac:dyDescent="0.2">
      <c r="A59" t="s">
        <v>26</v>
      </c>
      <c r="B59" s="1">
        <v>-100000</v>
      </c>
    </row>
    <row r="60" spans="1:2" x14ac:dyDescent="0.2">
      <c r="A60" s="4" t="s">
        <v>25</v>
      </c>
      <c r="B60" s="3">
        <v>5930000</v>
      </c>
    </row>
    <row r="61" spans="1:2" x14ac:dyDescent="0.2">
      <c r="A61" t="s">
        <v>27</v>
      </c>
      <c r="B61" s="1">
        <v>6430000</v>
      </c>
    </row>
    <row r="62" spans="1:2" x14ac:dyDescent="0.2">
      <c r="A62" s="4" t="s">
        <v>28</v>
      </c>
      <c r="B62" s="3">
        <f>SUM(B60:B61)</f>
        <v>12360000</v>
      </c>
    </row>
    <row r="63" spans="1:2" x14ac:dyDescent="0.2">
      <c r="B63" s="1"/>
    </row>
    <row r="64" spans="1:2" x14ac:dyDescent="0.2">
      <c r="A64" t="s">
        <v>29</v>
      </c>
      <c r="B64" s="1">
        <f>345800+(0.4*(B62-1000000))</f>
        <v>4889800</v>
      </c>
    </row>
    <row r="65" spans="1:3" x14ac:dyDescent="0.2">
      <c r="A65" t="s">
        <v>30</v>
      </c>
      <c r="B65" s="1">
        <v>-400000</v>
      </c>
    </row>
    <row r="66" spans="1:3" x14ac:dyDescent="0.2">
      <c r="B66" s="1"/>
    </row>
    <row r="67" spans="1:3" x14ac:dyDescent="0.2">
      <c r="A67" t="s">
        <v>31</v>
      </c>
      <c r="B67" s="1">
        <f>SUM(B64:B65)</f>
        <v>4489800</v>
      </c>
    </row>
    <row r="68" spans="1:3" x14ac:dyDescent="0.2">
      <c r="A68" t="s">
        <v>32</v>
      </c>
      <c r="B68" s="1"/>
    </row>
    <row r="69" spans="1:3" x14ac:dyDescent="0.2">
      <c r="A69" t="s">
        <v>33</v>
      </c>
      <c r="B69" s="1">
        <v>-2117800</v>
      </c>
      <c r="C69" t="s">
        <v>36</v>
      </c>
    </row>
    <row r="70" spans="1:3" x14ac:dyDescent="0.2">
      <c r="A70" t="s">
        <v>34</v>
      </c>
      <c r="B70" s="1">
        <f>SUM(B67:B69)</f>
        <v>2372000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266D0-E076-4AD6-9525-6F5F4BE7C869}">
  <dimension ref="A1:C32"/>
  <sheetViews>
    <sheetView zoomScale="91" zoomScaleNormal="130" workbookViewId="0">
      <selection activeCell="B1" sqref="B1"/>
    </sheetView>
  </sheetViews>
  <sheetFormatPr baseColWidth="10" defaultColWidth="9.1640625" defaultRowHeight="15" x14ac:dyDescent="0.2"/>
  <cols>
    <col min="1" max="1" width="36.5" style="11" customWidth="1"/>
    <col min="2" max="2" width="82.33203125" style="13" customWidth="1"/>
    <col min="3" max="3" width="77.5" style="13" customWidth="1"/>
    <col min="4" max="16384" width="9.1640625" style="11"/>
  </cols>
  <sheetData>
    <row r="1" spans="1:3" x14ac:dyDescent="0.2">
      <c r="A1" s="7" t="s">
        <v>51</v>
      </c>
    </row>
    <row r="2" spans="1:3" ht="96" x14ac:dyDescent="0.2">
      <c r="A2" s="9" t="s">
        <v>37</v>
      </c>
      <c r="B2" s="13" t="s">
        <v>38</v>
      </c>
      <c r="C2" s="13" t="s">
        <v>81</v>
      </c>
    </row>
    <row r="3" spans="1:3" ht="16" x14ac:dyDescent="0.2">
      <c r="A3" s="11" t="s">
        <v>39</v>
      </c>
      <c r="B3" s="13" t="s">
        <v>40</v>
      </c>
    </row>
    <row r="4" spans="1:3" ht="64" x14ac:dyDescent="0.2">
      <c r="A4" s="11" t="s">
        <v>41</v>
      </c>
      <c r="B4" s="13" t="s">
        <v>42</v>
      </c>
    </row>
    <row r="5" spans="1:3" ht="16" x14ac:dyDescent="0.2">
      <c r="A5" s="11" t="s">
        <v>43</v>
      </c>
      <c r="B5" s="13" t="s">
        <v>44</v>
      </c>
    </row>
    <row r="6" spans="1:3" ht="96" x14ac:dyDescent="0.2">
      <c r="A6" s="12" t="s">
        <v>46</v>
      </c>
      <c r="B6" s="13" t="s">
        <v>45</v>
      </c>
    </row>
    <row r="7" spans="1:3" ht="48" x14ac:dyDescent="0.2">
      <c r="A7" s="12" t="s">
        <v>47</v>
      </c>
      <c r="B7" s="13" t="s">
        <v>48</v>
      </c>
    </row>
    <row r="8" spans="1:3" ht="48" x14ac:dyDescent="0.2">
      <c r="A8" s="9" t="s">
        <v>49</v>
      </c>
      <c r="B8" s="13" t="s">
        <v>50</v>
      </c>
    </row>
    <row r="9" spans="1:3" x14ac:dyDescent="0.2">
      <c r="A9" s="7" t="s">
        <v>52</v>
      </c>
    </row>
    <row r="10" spans="1:3" ht="96" x14ac:dyDescent="0.2">
      <c r="A10" s="9" t="s">
        <v>53</v>
      </c>
      <c r="B10" s="13" t="s">
        <v>54</v>
      </c>
    </row>
    <row r="11" spans="1:3" ht="16" x14ac:dyDescent="0.2">
      <c r="A11" s="11" t="s">
        <v>55</v>
      </c>
      <c r="B11" s="13" t="s">
        <v>56</v>
      </c>
    </row>
    <row r="12" spans="1:3" x14ac:dyDescent="0.2">
      <c r="A12" s="7" t="s">
        <v>57</v>
      </c>
    </row>
    <row r="13" spans="1:3" ht="64" x14ac:dyDescent="0.2">
      <c r="A13" s="9" t="s">
        <v>58</v>
      </c>
      <c r="B13" s="13" t="s">
        <v>59</v>
      </c>
    </row>
    <row r="14" spans="1:3" ht="48" x14ac:dyDescent="0.2">
      <c r="A14" s="11" t="s">
        <v>60</v>
      </c>
      <c r="B14" s="13" t="s">
        <v>61</v>
      </c>
    </row>
    <row r="15" spans="1:3" ht="64" x14ac:dyDescent="0.2">
      <c r="A15" s="11" t="s">
        <v>62</v>
      </c>
      <c r="B15" s="13" t="s">
        <v>63</v>
      </c>
    </row>
    <row r="16" spans="1:3" ht="96" x14ac:dyDescent="0.2">
      <c r="A16" s="11" t="s">
        <v>64</v>
      </c>
      <c r="B16" s="13" t="s">
        <v>65</v>
      </c>
    </row>
    <row r="17" spans="1:3" x14ac:dyDescent="0.2">
      <c r="A17" s="7" t="s">
        <v>66</v>
      </c>
    </row>
    <row r="18" spans="1:3" ht="80" x14ac:dyDescent="0.2">
      <c r="A18" s="9" t="s">
        <v>67</v>
      </c>
      <c r="B18" s="13" t="s">
        <v>68</v>
      </c>
    </row>
    <row r="19" spans="1:3" ht="32" x14ac:dyDescent="0.2">
      <c r="A19" s="11" t="s">
        <v>69</v>
      </c>
      <c r="B19" s="13" t="s">
        <v>70</v>
      </c>
    </row>
    <row r="20" spans="1:3" x14ac:dyDescent="0.2">
      <c r="A20" s="7" t="s">
        <v>71</v>
      </c>
    </row>
    <row r="21" spans="1:3" ht="64" x14ac:dyDescent="0.2">
      <c r="A21" s="11" t="s">
        <v>72</v>
      </c>
      <c r="B21" s="13" t="s">
        <v>73</v>
      </c>
    </row>
    <row r="23" spans="1:3" x14ac:dyDescent="0.2">
      <c r="A23" s="11" t="s">
        <v>74</v>
      </c>
    </row>
    <row r="24" spans="1:3" ht="32" x14ac:dyDescent="0.2">
      <c r="A24" s="11" t="s">
        <v>75</v>
      </c>
      <c r="B24" s="13" t="s">
        <v>76</v>
      </c>
      <c r="C24" s="13" t="s">
        <v>77</v>
      </c>
    </row>
    <row r="25" spans="1:3" ht="16" x14ac:dyDescent="0.2">
      <c r="A25" s="11" t="s">
        <v>78</v>
      </c>
      <c r="B25" s="13" t="s">
        <v>79</v>
      </c>
      <c r="C25" s="13" t="s">
        <v>77</v>
      </c>
    </row>
    <row r="26" spans="1:3" ht="48" x14ac:dyDescent="0.2">
      <c r="A26" s="11">
        <v>2</v>
      </c>
      <c r="B26" s="13" t="s">
        <v>80</v>
      </c>
      <c r="C26" s="13" t="s">
        <v>82</v>
      </c>
    </row>
    <row r="27" spans="1:3" ht="48" x14ac:dyDescent="0.2">
      <c r="A27" s="11">
        <v>3</v>
      </c>
      <c r="B27" s="13" t="s">
        <v>83</v>
      </c>
      <c r="C27" s="13" t="s">
        <v>84</v>
      </c>
    </row>
    <row r="28" spans="1:3" ht="32" x14ac:dyDescent="0.2">
      <c r="A28" s="11">
        <v>4</v>
      </c>
      <c r="B28" s="13" t="s">
        <v>85</v>
      </c>
    </row>
    <row r="29" spans="1:3" ht="32" x14ac:dyDescent="0.2">
      <c r="A29" s="11">
        <v>5</v>
      </c>
      <c r="B29" s="13" t="s">
        <v>86</v>
      </c>
      <c r="C29" s="13" t="s">
        <v>87</v>
      </c>
    </row>
    <row r="30" spans="1:3" ht="16" x14ac:dyDescent="0.2">
      <c r="A30" s="11">
        <v>6</v>
      </c>
      <c r="B30" s="13" t="s">
        <v>88</v>
      </c>
    </row>
    <row r="31" spans="1:3" ht="32" x14ac:dyDescent="0.2">
      <c r="A31" s="11">
        <v>7</v>
      </c>
      <c r="B31" s="13" t="s">
        <v>89</v>
      </c>
    </row>
    <row r="32" spans="1:3" ht="48" x14ac:dyDescent="0.2">
      <c r="A32" s="11">
        <v>8</v>
      </c>
      <c r="B32" s="13" t="s">
        <v>90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6D346-F836-49FA-A86C-B80C0693EE27}">
  <dimension ref="A1:B9"/>
  <sheetViews>
    <sheetView workbookViewId="0">
      <selection activeCell="B9" sqref="B9"/>
    </sheetView>
  </sheetViews>
  <sheetFormatPr baseColWidth="10" defaultColWidth="8.83203125" defaultRowHeight="15" x14ac:dyDescent="0.2"/>
  <cols>
    <col min="1" max="1" width="19.83203125" style="8" bestFit="1" customWidth="1"/>
    <col min="2" max="2" width="86.33203125" style="6" customWidth="1"/>
    <col min="3" max="3" width="27.33203125" customWidth="1"/>
    <col min="4" max="4" width="27.1640625" customWidth="1"/>
  </cols>
  <sheetData>
    <row r="1" spans="1:2" x14ac:dyDescent="0.2">
      <c r="A1" s="8" t="s">
        <v>91</v>
      </c>
    </row>
    <row r="2" spans="1:2" ht="64" x14ac:dyDescent="0.2">
      <c r="A2" s="8">
        <v>1</v>
      </c>
      <c r="B2" s="6" t="s">
        <v>92</v>
      </c>
    </row>
    <row r="3" spans="1:2" ht="48" x14ac:dyDescent="0.2">
      <c r="A3" s="8" t="s">
        <v>93</v>
      </c>
      <c r="B3" s="6" t="s">
        <v>94</v>
      </c>
    </row>
    <row r="4" spans="1:2" ht="80" x14ac:dyDescent="0.2">
      <c r="A4" s="8" t="s">
        <v>95</v>
      </c>
      <c r="B4" s="6" t="s">
        <v>96</v>
      </c>
    </row>
    <row r="5" spans="1:2" ht="48" x14ac:dyDescent="0.2">
      <c r="A5" s="10" t="s">
        <v>98</v>
      </c>
      <c r="B5" s="6" t="s">
        <v>97</v>
      </c>
    </row>
    <row r="6" spans="1:2" ht="32" x14ac:dyDescent="0.2">
      <c r="A6" s="8">
        <v>3</v>
      </c>
      <c r="B6" s="6" t="s">
        <v>99</v>
      </c>
    </row>
    <row r="7" spans="1:2" ht="32" x14ac:dyDescent="0.2">
      <c r="A7" s="8">
        <v>4</v>
      </c>
      <c r="B7" s="6" t="s">
        <v>100</v>
      </c>
    </row>
    <row r="8" spans="1:2" ht="48" x14ac:dyDescent="0.2">
      <c r="A8" s="8">
        <v>5</v>
      </c>
      <c r="B8" s="6" t="s">
        <v>101</v>
      </c>
    </row>
    <row r="9" spans="1:2" x14ac:dyDescent="0.2">
      <c r="A9" s="8">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Ch 11 Exercises</vt:lpstr>
      <vt:lpstr>Scope of the Estate Tax (2033)</vt:lpstr>
      <vt:lpstr>Scope of Gift Tax (2501, 2511)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isaac fuhrman</dc:creator>
  <cp:lastModifiedBy>Juan Ariccio</cp:lastModifiedBy>
  <dcterms:created xsi:type="dcterms:W3CDTF">2022-09-06T02:03:50Z</dcterms:created>
  <dcterms:modified xsi:type="dcterms:W3CDTF">2023-11-08T00:07:58Z</dcterms:modified>
</cp:coreProperties>
</file>